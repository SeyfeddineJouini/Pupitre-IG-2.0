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quans-my.sharepoint.com/personal/qd8049_equans_com/Documents/Documents/Evan/Perso/PROJET TECH/Juin/"/>
    </mc:Choice>
  </mc:AlternateContent>
  <xr:revisionPtr revIDLastSave="36" documentId="13_ncr:1_{BCE9C696-01CF-4774-B9AF-D206AC943D65}" xr6:coauthVersionLast="47" xr6:coauthVersionMax="47" xr10:uidLastSave="{0ACA7C06-7C2A-4B8E-BEA3-DBC53464EC4D}"/>
  <bookViews>
    <workbookView xWindow="-108" yWindow="-108" windowWidth="23256" windowHeight="12576" xr2:uid="{00000000-000D-0000-FFFF-FFFF00000000}"/>
  </bookViews>
  <sheets>
    <sheet name="Valeurs" sheetId="6" r:id="rId1"/>
    <sheet name="Feuil2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6" l="1"/>
  <c r="K18" i="6"/>
  <c r="K17" i="6"/>
  <c r="K16" i="6"/>
  <c r="K15" i="6"/>
  <c r="K14" i="6"/>
  <c r="K13" i="6"/>
  <c r="K12" i="6"/>
  <c r="K11" i="6"/>
  <c r="N15" i="6"/>
  <c r="H11" i="6"/>
  <c r="H12" i="6"/>
  <c r="H13" i="6"/>
  <c r="H14" i="6"/>
  <c r="M20" i="6"/>
  <c r="J20" i="6"/>
  <c r="G20" i="6"/>
  <c r="N14" i="6"/>
  <c r="N19" i="6"/>
  <c r="N18" i="6"/>
  <c r="N17" i="6"/>
  <c r="N16" i="6"/>
  <c r="N13" i="6"/>
  <c r="N12" i="6"/>
  <c r="N11" i="6"/>
  <c r="H15" i="6"/>
  <c r="H16" i="6"/>
  <c r="H17" i="6"/>
  <c r="H18" i="6"/>
  <c r="H19" i="6"/>
</calcChain>
</file>

<file path=xl/sharedStrings.xml><?xml version="1.0" encoding="utf-8"?>
<sst xmlns="http://schemas.openxmlformats.org/spreadsheetml/2006/main" count="36" uniqueCount="29">
  <si>
    <t>Longueur (m)</t>
  </si>
  <si>
    <t>Largeur (m)</t>
  </si>
  <si>
    <t>Hauteur (m)</t>
  </si>
  <si>
    <t>Text (°C)</t>
  </si>
  <si>
    <t>Tint (°C)</t>
  </si>
  <si>
    <t>Matériau</t>
  </si>
  <si>
    <t>Pierre</t>
  </si>
  <si>
    <t>Brique</t>
  </si>
  <si>
    <t>Béton</t>
  </si>
  <si>
    <t xml:space="preserve">Bois </t>
  </si>
  <si>
    <t>Laine de verre</t>
  </si>
  <si>
    <t>λ (W/m.K)</t>
  </si>
  <si>
    <t>Caractéristiques la pièce</t>
  </si>
  <si>
    <t>Caractéristique des parois</t>
  </si>
  <si>
    <t>Murs</t>
  </si>
  <si>
    <t>Plancher bas</t>
  </si>
  <si>
    <t>Plancher haut</t>
  </si>
  <si>
    <r>
      <t xml:space="preserve">Ext </t>
    </r>
    <r>
      <rPr>
        <sz val="11"/>
        <color theme="1"/>
        <rFont val="Calibri"/>
        <family val="2"/>
      </rPr>
      <t>→ Int</t>
    </r>
  </si>
  <si>
    <t>Epaisseur (m)</t>
  </si>
  <si>
    <t>Total</t>
  </si>
  <si>
    <t>Nb matériaux murs</t>
  </si>
  <si>
    <t>Nb matériaux PB</t>
  </si>
  <si>
    <t>Nb matériaux PH</t>
  </si>
  <si>
    <r>
      <rPr>
        <sz val="11"/>
        <color theme="1"/>
        <rFont val="Aptos Narrow"/>
        <family val="2"/>
      </rPr>
      <t>λ</t>
    </r>
    <r>
      <rPr>
        <sz val="11"/>
        <color theme="1"/>
        <rFont val="Calibri"/>
        <family val="2"/>
        <scheme val="minor"/>
      </rPr>
      <t xml:space="preserve"> (W/m.K)</t>
    </r>
  </si>
  <si>
    <t>Déperdition (W)</t>
  </si>
  <si>
    <t>Svitre (m2)</t>
  </si>
  <si>
    <t>Tpark (°C)</t>
  </si>
  <si>
    <t>Plafond en contact ext</t>
  </si>
  <si>
    <t>Svertical (m2)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</si>
</sst>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2" fontId="2" fillId="3" borderId="1" xfId="0" applyNumberFormat="1" applyFont="1" applyFill="1" applyBorder="1"/>
  </cellXfs>
  <cellStyles count="1"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22</xdr:row>
          <xdr:rowOff>22860</xdr:rowOff>
        </xdr:from>
        <xdr:to>
          <xdr:col>2</xdr:col>
          <xdr:colOff>601980</xdr:colOff>
          <xdr:row>24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518160</xdr:colOff>
          <xdr:row>26</xdr:row>
          <xdr:rowOff>152400</xdr:rowOff>
        </xdr:from>
        <xdr:to>
          <xdr:col>12</xdr:col>
          <xdr:colOff>228600</xdr:colOff>
          <xdr:row>30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8:N21"/>
  <sheetViews>
    <sheetView tabSelected="1" zoomScaleNormal="100" workbookViewId="0">
      <selection activeCell="O15" sqref="O15"/>
    </sheetView>
  </sheetViews>
  <sheetFormatPr baseColWidth="10" defaultColWidth="10.77734375" defaultRowHeight="14.4" x14ac:dyDescent="0.3"/>
  <cols>
    <col min="1" max="1" width="11.44140625" style="5" customWidth="1"/>
    <col min="2" max="2" width="21.44140625" style="5" bestFit="1" customWidth="1"/>
    <col min="3" max="4" width="10.77734375" style="5"/>
    <col min="5" max="5" width="11.44140625" style="5" customWidth="1"/>
    <col min="6" max="6" width="13.5546875" style="5" customWidth="1"/>
    <col min="7" max="7" width="12.21875" style="5" bestFit="1" customWidth="1"/>
    <col min="8" max="8" width="9.21875" style="5" bestFit="1" customWidth="1"/>
    <col min="9" max="9" width="13.5546875" style="5" customWidth="1"/>
    <col min="10" max="10" width="12.21875" style="5" bestFit="1" customWidth="1"/>
    <col min="11" max="11" width="9.21875" style="5" bestFit="1" customWidth="1"/>
    <col min="12" max="12" width="13.5546875" style="5" customWidth="1"/>
    <col min="13" max="13" width="12.21875" style="5" bestFit="1" customWidth="1"/>
    <col min="14" max="14" width="9.21875" style="5" bestFit="1" customWidth="1"/>
    <col min="15" max="15" width="19.5546875" style="5" bestFit="1" customWidth="1"/>
    <col min="16" max="16384" width="10.77734375" style="5"/>
  </cols>
  <sheetData>
    <row r="8" spans="2:14" x14ac:dyDescent="0.3">
      <c r="B8" s="8" t="s">
        <v>12</v>
      </c>
      <c r="C8" s="8"/>
      <c r="E8" s="9" t="s">
        <v>13</v>
      </c>
      <c r="F8" s="10"/>
      <c r="G8" s="10"/>
      <c r="H8" s="10"/>
      <c r="I8" s="10"/>
      <c r="J8" s="10"/>
      <c r="K8" s="10"/>
      <c r="L8" s="10"/>
      <c r="M8" s="10"/>
      <c r="N8" s="11"/>
    </row>
    <row r="9" spans="2:14" x14ac:dyDescent="0.3">
      <c r="B9" s="6" t="s">
        <v>0</v>
      </c>
      <c r="C9" s="6"/>
      <c r="E9" s="6"/>
      <c r="F9" s="9" t="s">
        <v>14</v>
      </c>
      <c r="G9" s="10"/>
      <c r="H9" s="11"/>
      <c r="I9" s="9" t="s">
        <v>15</v>
      </c>
      <c r="J9" s="10"/>
      <c r="K9" s="11"/>
      <c r="L9" s="9" t="s">
        <v>16</v>
      </c>
      <c r="M9" s="10"/>
      <c r="N9" s="11"/>
    </row>
    <row r="10" spans="2:14" x14ac:dyDescent="0.3">
      <c r="B10" s="6" t="s">
        <v>1</v>
      </c>
      <c r="C10" s="6"/>
      <c r="E10" s="7" t="s">
        <v>17</v>
      </c>
      <c r="F10" s="7" t="s">
        <v>5</v>
      </c>
      <c r="G10" s="7" t="s">
        <v>18</v>
      </c>
      <c r="H10" s="7" t="s">
        <v>23</v>
      </c>
      <c r="I10" s="7" t="s">
        <v>5</v>
      </c>
      <c r="J10" s="7" t="s">
        <v>18</v>
      </c>
      <c r="K10" s="7" t="s">
        <v>23</v>
      </c>
      <c r="L10" s="7" t="s">
        <v>5</v>
      </c>
      <c r="M10" s="7" t="s">
        <v>18</v>
      </c>
      <c r="N10" s="7" t="s">
        <v>23</v>
      </c>
    </row>
    <row r="11" spans="2:14" x14ac:dyDescent="0.3">
      <c r="B11" s="6" t="s">
        <v>2</v>
      </c>
      <c r="C11" s="6"/>
      <c r="E11" s="7">
        <v>1</v>
      </c>
      <c r="F11" s="6"/>
      <c r="G11" s="6"/>
      <c r="H11" s="6" t="e">
        <f>VLOOKUP(F11,Feuil2!$B$3:$C$7,2,FALSE)</f>
        <v>#N/A</v>
      </c>
      <c r="I11" s="6"/>
      <c r="J11" s="6"/>
      <c r="K11" s="6" t="e">
        <f>VLOOKUP(I11,Feuil2!$B$3:$C$7,2,FALSE)</f>
        <v>#N/A</v>
      </c>
      <c r="L11" s="6"/>
      <c r="M11" s="6"/>
      <c r="N11" s="6" t="e">
        <f>VLOOKUP(L11,Feuil2!$B$3:$C$7,2,FALSE)</f>
        <v>#N/A</v>
      </c>
    </row>
    <row r="12" spans="2:14" x14ac:dyDescent="0.3">
      <c r="B12" s="6" t="s">
        <v>3</v>
      </c>
      <c r="C12" s="6"/>
      <c r="E12" s="7">
        <v>2</v>
      </c>
      <c r="F12" s="6"/>
      <c r="G12" s="6"/>
      <c r="H12" s="6" t="e">
        <f>VLOOKUP(F12,Feuil2!$B$3:$C$7,2,FALSE)</f>
        <v>#N/A</v>
      </c>
      <c r="I12" s="6"/>
      <c r="J12" s="6"/>
      <c r="K12" s="6" t="e">
        <f>VLOOKUP(I12,Feuil2!$B$3:$C$7,2,FALSE)</f>
        <v>#N/A</v>
      </c>
      <c r="L12" s="6"/>
      <c r="M12" s="6"/>
      <c r="N12" s="6" t="e">
        <f>VLOOKUP(L12,Feuil2!$B$3:$C$7,2,FALSE)</f>
        <v>#N/A</v>
      </c>
    </row>
    <row r="13" spans="2:14" x14ac:dyDescent="0.3">
      <c r="B13" s="6" t="s">
        <v>4</v>
      </c>
      <c r="C13" s="6"/>
      <c r="E13" s="7">
        <v>3</v>
      </c>
      <c r="F13" s="6"/>
      <c r="G13" s="6"/>
      <c r="H13" s="6" t="e">
        <f>VLOOKUP(F13,Feuil2!$B$3:$C$7,2,FALSE)</f>
        <v>#N/A</v>
      </c>
      <c r="I13" s="6"/>
      <c r="J13" s="6"/>
      <c r="K13" s="6" t="e">
        <f>VLOOKUP(I13,Feuil2!$B$3:$C$7,2,FALSE)</f>
        <v>#N/A</v>
      </c>
      <c r="L13" s="6"/>
      <c r="M13" s="6"/>
      <c r="N13" s="6" t="e">
        <f>VLOOKUP(L13,Feuil2!$B$3:$C$7,2,FALSE)</f>
        <v>#N/A</v>
      </c>
    </row>
    <row r="14" spans="2:14" x14ac:dyDescent="0.3">
      <c r="B14" s="6" t="s">
        <v>26</v>
      </c>
      <c r="C14" s="6"/>
      <c r="E14" s="7">
        <v>4</v>
      </c>
      <c r="F14" s="6"/>
      <c r="G14" s="6"/>
      <c r="H14" s="6" t="e">
        <f>VLOOKUP(F14,Feuil2!$B$3:$C$7,2,FALSE)</f>
        <v>#N/A</v>
      </c>
      <c r="I14" s="6"/>
      <c r="J14" s="6"/>
      <c r="K14" s="6" t="e">
        <f>VLOOKUP(I14,Feuil2!$B$3:$C$7,2,FALSE)</f>
        <v>#N/A</v>
      </c>
      <c r="L14" s="6"/>
      <c r="M14" s="6"/>
      <c r="N14" s="6" t="e">
        <f>VLOOKUP(L14,Feuil2!$B$3:$C$7,2,FALSE)</f>
        <v>#N/A</v>
      </c>
    </row>
    <row r="15" spans="2:14" x14ac:dyDescent="0.3">
      <c r="B15" s="6" t="s">
        <v>20</v>
      </c>
      <c r="C15" s="6"/>
      <c r="E15" s="7">
        <v>5</v>
      </c>
      <c r="F15" s="6"/>
      <c r="G15" s="6"/>
      <c r="H15" s="6" t="e">
        <f>VLOOKUP(F15,Feuil2!$B$3:$C$7,2,FALSE)</f>
        <v>#N/A</v>
      </c>
      <c r="I15" s="6"/>
      <c r="J15" s="6"/>
      <c r="K15" s="6" t="e">
        <f>VLOOKUP(I15,Feuil2!$B$3:$C$7,2,FALSE)</f>
        <v>#N/A</v>
      </c>
      <c r="L15" s="6"/>
      <c r="M15" s="6"/>
      <c r="N15" s="6" t="e">
        <f>VLOOKUP(L15,Feuil2!$B$3:$C$7,2,FALSE)</f>
        <v>#N/A</v>
      </c>
    </row>
    <row r="16" spans="2:14" x14ac:dyDescent="0.3">
      <c r="B16" s="6" t="s">
        <v>21</v>
      </c>
      <c r="C16" s="6"/>
      <c r="E16" s="7">
        <v>6</v>
      </c>
      <c r="F16" s="6"/>
      <c r="G16" s="6"/>
      <c r="H16" s="6" t="e">
        <f>VLOOKUP(F16,Feuil2!$B$3:$C$7,2,FALSE)</f>
        <v>#N/A</v>
      </c>
      <c r="I16" s="6"/>
      <c r="J16" s="6"/>
      <c r="K16" s="6" t="e">
        <f>VLOOKUP(I16,Feuil2!$B$3:$C$7,2,FALSE)</f>
        <v>#N/A</v>
      </c>
      <c r="L16" s="6"/>
      <c r="M16" s="6"/>
      <c r="N16" s="6" t="e">
        <f>VLOOKUP(L16,Feuil2!$B$3:$C$7,2,FALSE)</f>
        <v>#N/A</v>
      </c>
    </row>
    <row r="17" spans="2:14" x14ac:dyDescent="0.3">
      <c r="B17" s="6" t="s">
        <v>22</v>
      </c>
      <c r="C17" s="6"/>
      <c r="E17" s="7">
        <v>7</v>
      </c>
      <c r="F17" s="6"/>
      <c r="G17" s="6"/>
      <c r="H17" s="6" t="e">
        <f>VLOOKUP(F17,Feuil2!$B$3:$C$7,2,FALSE)</f>
        <v>#N/A</v>
      </c>
      <c r="I17" s="6"/>
      <c r="J17" s="6"/>
      <c r="K17" s="6" t="e">
        <f>VLOOKUP(I17,Feuil2!$B$3:$C$7,2,FALSE)</f>
        <v>#N/A</v>
      </c>
      <c r="L17" s="6"/>
      <c r="M17" s="6"/>
      <c r="N17" s="6" t="e">
        <f>VLOOKUP(L17,Feuil2!$B$3:$C$7,2,FALSE)</f>
        <v>#N/A</v>
      </c>
    </row>
    <row r="18" spans="2:14" x14ac:dyDescent="0.3">
      <c r="B18" s="6" t="s">
        <v>28</v>
      </c>
      <c r="C18" s="6"/>
      <c r="E18" s="7">
        <v>8</v>
      </c>
      <c r="F18" s="6"/>
      <c r="G18" s="6"/>
      <c r="H18" s="6" t="e">
        <f>VLOOKUP(F18,Feuil2!$B$3:$C$7,2,FALSE)</f>
        <v>#N/A</v>
      </c>
      <c r="I18" s="6"/>
      <c r="J18" s="6"/>
      <c r="K18" s="6" t="e">
        <f>VLOOKUP(I18,Feuil2!$B$3:$C$7,2,FALSE)</f>
        <v>#N/A</v>
      </c>
      <c r="L18" s="6"/>
      <c r="M18" s="6"/>
      <c r="N18" s="6" t="e">
        <f>VLOOKUP(L18,Feuil2!$B$3:$C$7,2,FALSE)</f>
        <v>#N/A</v>
      </c>
    </row>
    <row r="19" spans="2:14" x14ac:dyDescent="0.3">
      <c r="B19" s="6" t="s">
        <v>25</v>
      </c>
      <c r="C19" s="6"/>
      <c r="E19" s="7">
        <v>9</v>
      </c>
      <c r="F19" s="6"/>
      <c r="G19" s="6"/>
      <c r="H19" s="6" t="e">
        <f>VLOOKUP(F19,Feuil2!$B$3:$C$7,2,FALSE)</f>
        <v>#N/A</v>
      </c>
      <c r="I19" s="6"/>
      <c r="J19" s="6"/>
      <c r="K19" s="6" t="e">
        <f>VLOOKUP(I19,Feuil2!$B$3:$C$7,2,FALSE)</f>
        <v>#N/A</v>
      </c>
      <c r="L19" s="6"/>
      <c r="M19" s="6"/>
      <c r="N19" s="6" t="e">
        <f>VLOOKUP(L19,Feuil2!$B$3:$C$7,2,FALSE)</f>
        <v>#N/A</v>
      </c>
    </row>
    <row r="20" spans="2:14" x14ac:dyDescent="0.3">
      <c r="B20" s="6" t="s">
        <v>27</v>
      </c>
      <c r="C20" s="7"/>
      <c r="E20" s="7" t="s">
        <v>19</v>
      </c>
      <c r="F20" s="4"/>
      <c r="G20" s="6">
        <f>SUM(G11:G19)</f>
        <v>0</v>
      </c>
      <c r="H20" s="6"/>
      <c r="I20" s="4"/>
      <c r="J20" s="6">
        <f>SUM(J11:J19)</f>
        <v>0</v>
      </c>
      <c r="K20" s="6"/>
      <c r="L20" s="4"/>
      <c r="M20" s="6">
        <f>SUM(M11:M19)</f>
        <v>0</v>
      </c>
      <c r="N20" s="6"/>
    </row>
    <row r="21" spans="2:14" x14ac:dyDescent="0.3">
      <c r="B21" s="6" t="s">
        <v>24</v>
      </c>
      <c r="C21" s="12"/>
    </row>
  </sheetData>
  <mergeCells count="5">
    <mergeCell ref="B8:C8"/>
    <mergeCell ref="E8:N8"/>
    <mergeCell ref="F9:H9"/>
    <mergeCell ref="I9:K9"/>
    <mergeCell ref="L9:N9"/>
  </mergeCells>
  <conditionalFormatting sqref="F11:N19">
    <cfRule type="containsErrors" dxfId="0" priority="2">
      <formula>ISERROR(F11)</formula>
    </cfRule>
  </conditionalFormatting>
  <pageMargins left="0.7" right="0.7" top="0.75" bottom="0.75" header="0.3" footer="0.3"/>
  <pageSetup paperSize="9" orientation="portrait" r:id="rId1"/>
  <ignoredErrors>
    <ignoredError sqref="H11:H19 K11:K19 N11:N1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mmencer">
                <anchor moveWithCells="1" sizeWithCells="1">
                  <from>
                    <xdr:col>1</xdr:col>
                    <xdr:colOff>647700</xdr:colOff>
                    <xdr:row>22</xdr:row>
                    <xdr:rowOff>22860</xdr:rowOff>
                  </from>
                  <to>
                    <xdr:col>2</xdr:col>
                    <xdr:colOff>601980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outon1_Cliquer">
                <anchor moveWithCells="1" sizeWithCells="1">
                  <from>
                    <xdr:col>10</xdr:col>
                    <xdr:colOff>518160</xdr:colOff>
                    <xdr:row>26</xdr:row>
                    <xdr:rowOff>152400</xdr:rowOff>
                  </from>
                  <to>
                    <xdr:col>12</xdr:col>
                    <xdr:colOff>228600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C7"/>
  <sheetViews>
    <sheetView workbookViewId="0">
      <selection activeCell="D24" sqref="D24"/>
    </sheetView>
  </sheetViews>
  <sheetFormatPr baseColWidth="10" defaultRowHeight="14.4" x14ac:dyDescent="0.3"/>
  <cols>
    <col min="2" max="2" width="13.5546875" bestFit="1" customWidth="1"/>
  </cols>
  <sheetData>
    <row r="2" spans="2:3" x14ac:dyDescent="0.3">
      <c r="B2" s="1" t="s">
        <v>5</v>
      </c>
      <c r="C2" s="2" t="s">
        <v>11</v>
      </c>
    </row>
    <row r="3" spans="2:3" x14ac:dyDescent="0.3">
      <c r="B3" s="3" t="s">
        <v>6</v>
      </c>
      <c r="C3" s="3">
        <v>2.5</v>
      </c>
    </row>
    <row r="4" spans="2:3" x14ac:dyDescent="0.3">
      <c r="B4" s="3" t="s">
        <v>7</v>
      </c>
      <c r="C4" s="3">
        <v>0.95</v>
      </c>
    </row>
    <row r="5" spans="2:3" x14ac:dyDescent="0.3">
      <c r="B5" s="3" t="s">
        <v>8</v>
      </c>
      <c r="C5" s="3">
        <v>1.8</v>
      </c>
    </row>
    <row r="6" spans="2:3" x14ac:dyDescent="0.3">
      <c r="B6" s="3" t="s">
        <v>9</v>
      </c>
      <c r="C6" s="3">
        <v>0.17</v>
      </c>
    </row>
    <row r="7" spans="2:3" x14ac:dyDescent="0.3">
      <c r="B7" s="3" t="s">
        <v>10</v>
      </c>
      <c r="C7" s="3">
        <v>3.5000000000000003E-2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Valeurs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LIANG</dc:creator>
  <cp:lastModifiedBy>SOARES Evan (MCI)</cp:lastModifiedBy>
  <dcterms:created xsi:type="dcterms:W3CDTF">2024-05-28T11:54:16Z</dcterms:created>
  <dcterms:modified xsi:type="dcterms:W3CDTF">2024-06-13T12:16:43Z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a238cc-6af3-4341-9d32-201b7e04331f_Enabled">
    <vt:lpwstr>true</vt:lpwstr>
  </property>
  <property fmtid="{D5CDD505-2E9C-101B-9397-08002B2CF9AE}" pid="3" name="MSIP_Label_64a238cc-6af3-4341-9d32-201b7e04331f_SetDate">
    <vt:lpwstr>2024-06-13T10:58:56Z</vt:lpwstr>
  </property>
  <property fmtid="{D5CDD505-2E9C-101B-9397-08002B2CF9AE}" pid="4" name="MSIP_Label_64a238cc-6af3-4341-9d32-201b7e04331f_Method">
    <vt:lpwstr>Standard</vt:lpwstr>
  </property>
  <property fmtid="{D5CDD505-2E9C-101B-9397-08002B2CF9AE}" pid="5" name="MSIP_Label_64a238cc-6af3-4341-9d32-201b7e04331f_Name">
    <vt:lpwstr>Internal</vt:lpwstr>
  </property>
  <property fmtid="{D5CDD505-2E9C-101B-9397-08002B2CF9AE}" pid="6" name="MSIP_Label_64a238cc-6af3-4341-9d32-201b7e04331f_SiteId">
    <vt:lpwstr>09ebfde1-6505-4c31-942f-18875ff0189d</vt:lpwstr>
  </property>
  <property fmtid="{D5CDD505-2E9C-101B-9397-08002B2CF9AE}" pid="7" name="MSIP_Label_64a238cc-6af3-4341-9d32-201b7e04331f_ActionId">
    <vt:lpwstr>4e635501-e2b1-4934-80d3-6824007442ed</vt:lpwstr>
  </property>
  <property fmtid="{D5CDD505-2E9C-101B-9397-08002B2CF9AE}" pid="8" name="MSIP_Label_64a238cc-6af3-4341-9d32-201b7e04331f_ContentBits">
    <vt:lpwstr>0</vt:lpwstr>
  </property>
</Properties>
</file>